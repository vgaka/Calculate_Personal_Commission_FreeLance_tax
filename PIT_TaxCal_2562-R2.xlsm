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\Documents\"/>
    </mc:Choice>
  </mc:AlternateContent>
  <xr:revisionPtr revIDLastSave="0" documentId="13_ncr:1_{7A9E3645-C9E7-4919-8017-15C327542EE9}" xr6:coauthVersionLast="45" xr6:coauthVersionMax="45" xr10:uidLastSave="{00000000-0000-0000-0000-000000000000}"/>
  <bookViews>
    <workbookView xWindow="-110" yWindow="-110" windowWidth="19420" windowHeight="10420" activeTab="2" xr2:uid="{CE167476-5BCB-4283-BF53-4213D9E3F3AD}"/>
  </bookViews>
  <sheets>
    <sheet name="TaxCalculate" sheetId="1" r:id="rId1"/>
    <sheet name="DATA" sheetId="2" r:id="rId2"/>
    <sheet name="TaxReport" sheetId="3" r:id="rId3"/>
  </sheets>
  <definedNames>
    <definedName name="_xlnm.DataBase">DATA!$A$5:$D$61</definedName>
    <definedName name="INP_NETREV">TaxCalculate!$C$16</definedName>
    <definedName name="OUTPUT_TAXPAY">TaxCalculate!$D$25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C19" i="1" s="1"/>
  <c r="D21" i="1" l="1"/>
  <c r="D23" i="1"/>
  <c r="C22" i="1"/>
  <c r="G10" i="1"/>
  <c r="G8" i="1"/>
  <c r="G5" i="1"/>
  <c r="G4" i="1"/>
  <c r="F5" i="1"/>
  <c r="G7" i="1" s="1"/>
  <c r="F6" i="1"/>
  <c r="G11" i="1" s="1"/>
  <c r="F7" i="1"/>
  <c r="G9" i="1" s="1"/>
  <c r="F8" i="1"/>
  <c r="F9" i="1"/>
  <c r="F10" i="1"/>
  <c r="D25" i="1" l="1"/>
  <c r="G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kik</author>
  </authors>
  <commentList>
    <comment ref="A5" authorId="0" shapeId="0" xr:uid="{00AD4288-E774-4146-9FBD-51645B3DF197}">
      <text>
        <r>
          <rPr>
            <sz val="9"/>
            <color indexed="81"/>
            <rFont val="Tahoma"/>
            <family val="2"/>
          </rPr>
          <t>วดป ที่จ่าย*</t>
        </r>
      </text>
    </comment>
    <comment ref="B5" authorId="0" shapeId="0" xr:uid="{957E62EB-7B33-477A-AFAB-EA880E413C47}">
      <text>
        <r>
          <rPr>
            <sz val="9"/>
            <color indexed="81"/>
            <rFont val="Tahoma"/>
            <family val="2"/>
          </rPr>
          <t>เลขประจำตัว13 หลัก*</t>
        </r>
      </text>
    </comment>
    <comment ref="C5" authorId="0" shapeId="0" xr:uid="{F7EFBCD5-D5D6-4BA5-BA83-CFEF833B8200}">
      <text>
        <r>
          <rPr>
            <sz val="9"/>
            <color indexed="81"/>
            <rFont val="Tahoma"/>
            <family val="2"/>
          </rPr>
          <t>ชื่อ…(Optional)</t>
        </r>
      </text>
    </comment>
    <comment ref="D5" authorId="0" shapeId="0" xr:uid="{DA0B0F14-599C-4E76-849D-2ED236FDA7F0}">
      <text>
        <r>
          <rPr>
            <sz val="9"/>
            <color indexed="81"/>
            <rFont val="Tahoma"/>
            <family val="2"/>
          </rPr>
          <t>เงินได้ที่จ่าย</t>
        </r>
      </text>
    </comment>
  </commentList>
</comments>
</file>

<file path=xl/sharedStrings.xml><?xml version="1.0" encoding="utf-8"?>
<sst xmlns="http://schemas.openxmlformats.org/spreadsheetml/2006/main" count="177" uniqueCount="61">
  <si>
    <t>Personal income tax</t>
  </si>
  <si>
    <t>PND90/2562</t>
  </si>
  <si>
    <t>ID</t>
  </si>
  <si>
    <t>Lower</t>
  </si>
  <si>
    <t>Upper</t>
  </si>
  <si>
    <t>TaxRate</t>
  </si>
  <si>
    <t>AccumRev</t>
  </si>
  <si>
    <t>MaxTaxInRange</t>
  </si>
  <si>
    <t>AccumTaxBeforeRange</t>
  </si>
  <si>
    <t>Input :</t>
  </si>
  <si>
    <t>เงินได้สุทธิ</t>
  </si>
  <si>
    <t>Tax in current rate</t>
  </si>
  <si>
    <t>Total Tax</t>
  </si>
  <si>
    <t>Output :</t>
  </si>
  <si>
    <t>บริษัท สมใจคิด จำกัด</t>
  </si>
  <si>
    <t>รายงานการจ่ายค่าตอบแทน freelancer</t>
  </si>
  <si>
    <t>ณ วันที่ 25 เมษายน 2562</t>
  </si>
  <si>
    <t>ชื่อ…(Optional)</t>
  </si>
  <si>
    <t>เลขประจำตัว13 หลัก*</t>
  </si>
  <si>
    <t>นาย A</t>
  </si>
  <si>
    <t>0192345678912</t>
  </si>
  <si>
    <t>0980191205337</t>
  </si>
  <si>
    <t>0810579221466</t>
  </si>
  <si>
    <t>0808991174173</t>
  </si>
  <si>
    <t>0714147409331</t>
  </si>
  <si>
    <t>0316676464154</t>
  </si>
  <si>
    <t>0397025390013</t>
  </si>
  <si>
    <t>0231854763349</t>
  </si>
  <si>
    <t>0934047408884</t>
  </si>
  <si>
    <t>0264326784446</t>
  </si>
  <si>
    <t>0292949066295</t>
  </si>
  <si>
    <t>0781956837245</t>
  </si>
  <si>
    <t>0946369519775</t>
  </si>
  <si>
    <t>0217219079231</t>
  </si>
  <si>
    <t>0322789599987</t>
  </si>
  <si>
    <t>นาย B</t>
  </si>
  <si>
    <t>นาย C</t>
  </si>
  <si>
    <t>นาย D</t>
  </si>
  <si>
    <t>นาย E</t>
  </si>
  <si>
    <t>นาย F</t>
  </si>
  <si>
    <t>นาย G</t>
  </si>
  <si>
    <t>นาย H</t>
  </si>
  <si>
    <t>นาย I</t>
  </si>
  <si>
    <t>นาย J</t>
  </si>
  <si>
    <t>นาย K</t>
  </si>
  <si>
    <t>นาย L</t>
  </si>
  <si>
    <t>นาย M</t>
  </si>
  <si>
    <t>นาย N</t>
  </si>
  <si>
    <t>นาย O</t>
  </si>
  <si>
    <t>กรณีจ่ายให้บุคคลธรรมดา หักภาษี ตามอัตราก้าวหน้า</t>
  </si>
  <si>
    <t>เงินได้สะสม</t>
  </si>
  <si>
    <t>Date</t>
  </si>
  <si>
    <t>TaxID</t>
  </si>
  <si>
    <t>Name</t>
  </si>
  <si>
    <t>Free</t>
  </si>
  <si>
    <t>ก่อนจะ Run มัน่ใจว่าเก็บไฟล์ของเดือนที่แล้วไว้ก่อนเป็นที่เรียบร้อยแล้ว Undo ไม่ได้นะ</t>
  </si>
  <si>
    <t>หัก ค่าใช้จ่าย</t>
  </si>
  <si>
    <t>หัก ลดหย่อนตัวผู้เสียภาษี</t>
  </si>
  <si>
    <t>เงินได้พึ่งประเมิน</t>
  </si>
  <si>
    <t>{adj able}</t>
  </si>
  <si>
    <t>คำนวณภาษี หัก ณ ที่จ่าย สะสม ถึงวันปัจจุบัน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</si>
</sst>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/mmm/yy;@"/>
  </numFmts>
  <fonts count="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/>
    <xf numFmtId="4" fontId="0" fillId="3" borderId="0" xfId="0" applyNumberFormat="1" applyFill="1" applyAlignment="1">
      <alignment vertical="center" wrapText="1"/>
    </xf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4" fontId="0" fillId="0" borderId="0" xfId="1" applyNumberFormat="1" applyFont="1"/>
    <xf numFmtId="9" fontId="0" fillId="0" borderId="0" xfId="0" applyNumberFormat="1" applyAlignment="1">
      <alignment vertical="center" wrapText="1"/>
    </xf>
    <xf numFmtId="4" fontId="0" fillId="0" borderId="1" xfId="0" applyNumberFormat="1" applyBorder="1"/>
    <xf numFmtId="4" fontId="0" fillId="2" borderId="1" xfId="0" applyNumberFormat="1" applyFill="1" applyBorder="1"/>
  </cellXfs>
  <cellStyles count="2">
    <cellStyle name="Normal" xfId="0" builtinId="0"/>
    <cellStyle name="Percent" xfId="1" builtinId="5"/>
  </cellStyles>
  <dxfs count="4">
    <dxf>
      <numFmt numFmtId="4" formatCode="#,##0.00"/>
    </dxf>
    <dxf>
      <numFmt numFmtId="0" formatCode="General"/>
    </dxf>
    <dxf>
      <numFmt numFmtId="164" formatCode="[$-409]dd/m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31750</xdr:colOff>
      <xdr:row>1</xdr:row>
      <xdr:rowOff>50800</xdr:rowOff>
    </xdr:from>
    <xdr:to>
      <xdr:col>10</xdr:col>
      <xdr:colOff>101600</xdr:colOff>
      <xdr:row>3</xdr:row>
      <xdr:rowOff>76200</xdr:rowOff>
    </xdr:to>
    <xdr:sp macro="[0]!CalculateTa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9A7EF9-E827-4942-8036-B053B3FFBACC}"/>
            </a:ext>
          </a:extLst>
        </xdr:cNvPr>
        <xdr:cNvSpPr>
          <a:spLocks noChangeAspect="1"/>
        </xdr:cNvSpPr>
      </xdr:nvSpPr>
      <xdr:spPr>
        <a:xfrm>
          <a:off x="3321050" y="247650"/>
          <a:ext cx="4851400" cy="419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Calcualte Tax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5E32C2-2155-4432-A0C9-222A5BA4ACEA}" name="PayTable" displayName="PayTable" ref="A5:D61" totalsRowShown="0" headerRowDxfId="3">
  <autoFilter ref="A5:D61" xr:uid="{C9BC0F44-39A3-4C0A-BD5F-CF836F58E2B6}"/>
  <tableColumns count="4">
    <tableColumn id="1" xr3:uid="{376650CE-56DF-440C-939E-DF9CD8281209}" name="Date" dataDxfId="2"/>
    <tableColumn id="2" xr3:uid="{32DEAC41-F242-4252-B056-9AD0165F0A52}" name="TaxID" dataDxfId="1"/>
    <tableColumn id="3" xr3:uid="{BF552FDC-6614-417B-8E52-295D5689C912}" name="Name"/>
    <tableColumn id="4" xr3:uid="{0914A087-FA18-4D9F-A078-1F1261440272}" name="Fr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C151-4548-45DC-963A-2F1AAD9CBABE}">
  <sheetPr codeName="Sheet1"/>
  <dimension ref="A1:G26"/>
  <sheetViews>
    <sheetView workbookViewId="0">
      <selection activeCell="C16" sqref="C16"/>
    </sheetView>
  </sheetViews>
  <sheetFormatPr defaultRowHeight="12.5" x14ac:dyDescent="0.25"/>
  <cols>
    <col min="2" max="2" width="15.90625" customWidth="1"/>
    <col min="3" max="3" width="13.54296875" bestFit="1" customWidth="1"/>
    <col min="4" max="4" width="12.453125" bestFit="1" customWidth="1"/>
    <col min="5" max="5" width="11.453125" bestFit="1" customWidth="1"/>
    <col min="6" max="6" width="14.26953125" style="3" bestFit="1" customWidth="1"/>
    <col min="7" max="7" width="19.81640625" bestFit="1" customWidth="1"/>
  </cols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s="3" t="s">
        <v>7</v>
      </c>
      <c r="G3" t="s">
        <v>8</v>
      </c>
    </row>
    <row r="4" spans="1:7" x14ac:dyDescent="0.25">
      <c r="A4" s="1">
        <v>1</v>
      </c>
      <c r="B4" s="2">
        <v>0</v>
      </c>
      <c r="C4" s="2">
        <v>150000</v>
      </c>
      <c r="D4" s="13">
        <v>0</v>
      </c>
      <c r="E4" s="2">
        <v>0</v>
      </c>
      <c r="F4" s="2">
        <v>0</v>
      </c>
      <c r="G4" s="3">
        <f>F4</f>
        <v>0</v>
      </c>
    </row>
    <row r="5" spans="1:7" x14ac:dyDescent="0.25">
      <c r="A5" s="1">
        <v>2</v>
      </c>
      <c r="B5" s="2">
        <v>150000.01</v>
      </c>
      <c r="C5" s="2">
        <v>300000</v>
      </c>
      <c r="D5" s="13">
        <v>0.05</v>
      </c>
      <c r="E5" s="2">
        <v>150000</v>
      </c>
      <c r="F5" s="2">
        <f t="shared" ref="F5:F10" si="0">(C5-C4)*D5</f>
        <v>7500</v>
      </c>
      <c r="G5" s="3">
        <f>F4</f>
        <v>0</v>
      </c>
    </row>
    <row r="6" spans="1:7" x14ac:dyDescent="0.25">
      <c r="A6" s="1">
        <v>3</v>
      </c>
      <c r="B6" s="2">
        <v>300000.01</v>
      </c>
      <c r="C6" s="2">
        <v>500000</v>
      </c>
      <c r="D6" s="13">
        <v>0.1</v>
      </c>
      <c r="E6" s="2">
        <v>300000</v>
      </c>
      <c r="F6" s="2">
        <f t="shared" si="0"/>
        <v>20000</v>
      </c>
      <c r="G6" s="3">
        <f>SUM($F$4:F5)</f>
        <v>7500</v>
      </c>
    </row>
    <row r="7" spans="1:7" x14ac:dyDescent="0.25">
      <c r="A7" s="1">
        <v>4</v>
      </c>
      <c r="B7" s="2">
        <v>500000.01</v>
      </c>
      <c r="C7" s="2">
        <v>750000</v>
      </c>
      <c r="D7" s="13">
        <v>0.15</v>
      </c>
      <c r="E7" s="2">
        <v>500000</v>
      </c>
      <c r="F7" s="2">
        <f t="shared" si="0"/>
        <v>37500</v>
      </c>
      <c r="G7" s="3">
        <f>SUM($F$4:F6)</f>
        <v>27500</v>
      </c>
    </row>
    <row r="8" spans="1:7" x14ac:dyDescent="0.25">
      <c r="A8" s="1">
        <v>5</v>
      </c>
      <c r="B8" s="2">
        <v>750000.01</v>
      </c>
      <c r="C8" s="2">
        <v>1000000</v>
      </c>
      <c r="D8" s="13">
        <v>0.2</v>
      </c>
      <c r="E8" s="2">
        <v>750000</v>
      </c>
      <c r="F8" s="2">
        <f t="shared" si="0"/>
        <v>50000</v>
      </c>
      <c r="G8" s="3">
        <f>SUM($F$4:F7)</f>
        <v>65000</v>
      </c>
    </row>
    <row r="9" spans="1:7" x14ac:dyDescent="0.25">
      <c r="A9" s="1">
        <v>6</v>
      </c>
      <c r="B9" s="2">
        <v>1000000.01</v>
      </c>
      <c r="C9" s="2">
        <v>2000000</v>
      </c>
      <c r="D9" s="13">
        <v>0.25</v>
      </c>
      <c r="E9" s="2">
        <v>1000000</v>
      </c>
      <c r="F9" s="2">
        <f t="shared" si="0"/>
        <v>250000</v>
      </c>
      <c r="G9" s="3">
        <f>SUM($F$4:F8)</f>
        <v>115000</v>
      </c>
    </row>
    <row r="10" spans="1:7" x14ac:dyDescent="0.25">
      <c r="A10" s="1">
        <v>7</v>
      </c>
      <c r="B10" s="2">
        <v>2000000.01</v>
      </c>
      <c r="C10" s="2">
        <v>5000000</v>
      </c>
      <c r="D10" s="13">
        <v>0.3</v>
      </c>
      <c r="E10" s="2">
        <v>2000000</v>
      </c>
      <c r="F10" s="2">
        <f t="shared" si="0"/>
        <v>900000</v>
      </c>
      <c r="G10" s="3">
        <f>SUM($F$4:F9)</f>
        <v>365000</v>
      </c>
    </row>
    <row r="11" spans="1:7" x14ac:dyDescent="0.25">
      <c r="A11" s="1">
        <v>8</v>
      </c>
      <c r="B11" s="2">
        <v>5000000.01</v>
      </c>
      <c r="C11" s="2"/>
      <c r="D11" s="13">
        <v>0.35</v>
      </c>
      <c r="E11" s="2">
        <v>5000000</v>
      </c>
      <c r="F11" s="2"/>
      <c r="G11" s="3">
        <f>SUM($F$4:F10)</f>
        <v>1265000</v>
      </c>
    </row>
    <row r="12" spans="1:7" x14ac:dyDescent="0.25">
      <c r="A12" s="1"/>
      <c r="B12" s="1"/>
      <c r="C12" s="1"/>
      <c r="D12" s="1"/>
      <c r="E12" s="1"/>
      <c r="F12" s="2"/>
    </row>
    <row r="16" spans="1:7" x14ac:dyDescent="0.25">
      <c r="A16" t="s">
        <v>9</v>
      </c>
      <c r="B16" t="s">
        <v>58</v>
      </c>
      <c r="C16" s="4">
        <v>462000</v>
      </c>
    </row>
    <row r="17" spans="1:6" x14ac:dyDescent="0.25">
      <c r="A17" t="s">
        <v>56</v>
      </c>
      <c r="C17" s="3">
        <f>MIN(INP_NETREV*0.5,100000)</f>
        <v>100000</v>
      </c>
      <c r="D17" t="s">
        <v>59</v>
      </c>
    </row>
    <row r="18" spans="1:6" x14ac:dyDescent="0.25">
      <c r="A18" t="s">
        <v>57</v>
      </c>
      <c r="C18" s="3">
        <v>60000</v>
      </c>
      <c r="D18" t="s">
        <v>59</v>
      </c>
    </row>
    <row r="19" spans="1:6" ht="13" thickBot="1" x14ac:dyDescent="0.3">
      <c r="B19" t="s">
        <v>10</v>
      </c>
      <c r="C19" s="14">
        <f>MAX(0,SUM(INP_NETREV-C17-C18))</f>
        <v>302000</v>
      </c>
    </row>
    <row r="20" spans="1:6" ht="13" thickTop="1" x14ac:dyDescent="0.25">
      <c r="C20" t="s">
        <v>11</v>
      </c>
      <c r="E20" s="3"/>
      <c r="F20"/>
    </row>
    <row r="21" spans="1:6" x14ac:dyDescent="0.25">
      <c r="D21" s="12">
        <f>(C19-VLOOKUP(C19,$B$4:$G$11,4))*VLOOKUP(C19,$B$4:$G$11,3)</f>
        <v>200</v>
      </c>
    </row>
    <row r="22" spans="1:6" x14ac:dyDescent="0.25">
      <c r="C22" t="str">
        <f>G3</f>
        <v>AccumTaxBeforeRange</v>
      </c>
      <c r="E22" s="3"/>
      <c r="F22"/>
    </row>
    <row r="23" spans="1:6" x14ac:dyDescent="0.25">
      <c r="D23" s="3">
        <f>VLOOKUP(C19,$B$4:$G$11,6)</f>
        <v>7500</v>
      </c>
    </row>
    <row r="24" spans="1:6" x14ac:dyDescent="0.25">
      <c r="C24" s="3" t="s">
        <v>12</v>
      </c>
      <c r="E24" s="3"/>
      <c r="F24"/>
    </row>
    <row r="25" spans="1:6" ht="13" thickBot="1" x14ac:dyDescent="0.3">
      <c r="A25" t="s">
        <v>13</v>
      </c>
      <c r="D25" s="15">
        <f>D21+D23</f>
        <v>7700</v>
      </c>
    </row>
    <row r="26" spans="1:6" ht="13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5D21-5D21-41E0-BF7A-7F36DB6CF28C}">
  <sheetPr codeName="Sheet2"/>
  <dimension ref="A1:D61"/>
  <sheetViews>
    <sheetView workbookViewId="0">
      <pane xSplit="1" ySplit="5" topLeftCell="B38" activePane="bottomRight" state="frozen"/>
      <selection pane="topRight" activeCell="B1" sqref="B1"/>
      <selection pane="bottomLeft" activeCell="A6" sqref="A6"/>
      <selection pane="bottomRight" activeCell="C42" sqref="C42"/>
    </sheetView>
  </sheetViews>
  <sheetFormatPr defaultRowHeight="12.5" x14ac:dyDescent="0.25"/>
  <cols>
    <col min="1" max="1" width="12.26953125" customWidth="1"/>
    <col min="2" max="2" width="20.1796875" customWidth="1"/>
    <col min="3" max="3" width="14.6328125" customWidth="1"/>
    <col min="4" max="4" width="16.08984375" bestFit="1" customWidth="1"/>
  </cols>
  <sheetData>
    <row r="1" spans="1:4" ht="15.5" x14ac:dyDescent="0.35">
      <c r="A1" s="10" t="s">
        <v>14</v>
      </c>
      <c r="D1" s="11" t="s">
        <v>55</v>
      </c>
    </row>
    <row r="2" spans="1:4" ht="15.5" x14ac:dyDescent="0.35">
      <c r="A2" s="10" t="s">
        <v>15</v>
      </c>
    </row>
    <row r="3" spans="1:4" ht="15.5" x14ac:dyDescent="0.35">
      <c r="A3" s="10" t="s">
        <v>16</v>
      </c>
    </row>
    <row r="5" spans="1:4" s="8" customFormat="1" ht="13" x14ac:dyDescent="0.3">
      <c r="A5" s="8" t="s">
        <v>51</v>
      </c>
      <c r="B5" s="8" t="s">
        <v>52</v>
      </c>
      <c r="C5" s="8" t="s">
        <v>53</v>
      </c>
      <c r="D5" s="8" t="s">
        <v>54</v>
      </c>
    </row>
    <row r="6" spans="1:4" x14ac:dyDescent="0.25">
      <c r="A6" s="5">
        <v>43468</v>
      </c>
      <c r="B6" s="6" t="s">
        <v>20</v>
      </c>
      <c r="C6" t="s">
        <v>19</v>
      </c>
      <c r="D6" s="3">
        <v>53000</v>
      </c>
    </row>
    <row r="7" spans="1:4" x14ac:dyDescent="0.25">
      <c r="A7" s="5">
        <v>43470</v>
      </c>
      <c r="B7" s="7" t="s">
        <v>21</v>
      </c>
      <c r="C7" t="s">
        <v>35</v>
      </c>
      <c r="D7" s="3">
        <v>135000</v>
      </c>
    </row>
    <row r="8" spans="1:4" x14ac:dyDescent="0.25">
      <c r="A8" s="5">
        <v>43472</v>
      </c>
      <c r="B8" s="7" t="s">
        <v>22</v>
      </c>
      <c r="C8" t="s">
        <v>36</v>
      </c>
      <c r="D8" s="3">
        <v>132000</v>
      </c>
    </row>
    <row r="9" spans="1:4" x14ac:dyDescent="0.25">
      <c r="A9" s="5">
        <v>43474</v>
      </c>
      <c r="B9" s="7" t="s">
        <v>23</v>
      </c>
      <c r="C9" t="s">
        <v>37</v>
      </c>
      <c r="D9" s="3">
        <v>73000</v>
      </c>
    </row>
    <row r="10" spans="1:4" x14ac:dyDescent="0.25">
      <c r="A10" s="5">
        <v>43476</v>
      </c>
      <c r="B10" s="7" t="s">
        <v>24</v>
      </c>
      <c r="C10" t="s">
        <v>38</v>
      </c>
      <c r="D10" s="3">
        <v>89000</v>
      </c>
    </row>
    <row r="11" spans="1:4" x14ac:dyDescent="0.25">
      <c r="A11" s="5">
        <v>43478</v>
      </c>
      <c r="B11" s="7" t="s">
        <v>25</v>
      </c>
      <c r="C11" t="s">
        <v>39</v>
      </c>
      <c r="D11" s="3">
        <v>56000</v>
      </c>
    </row>
    <row r="12" spans="1:4" x14ac:dyDescent="0.25">
      <c r="A12" s="5">
        <v>43480</v>
      </c>
      <c r="B12" s="7" t="s">
        <v>26</v>
      </c>
      <c r="C12" t="s">
        <v>40</v>
      </c>
      <c r="D12" s="3">
        <v>182000</v>
      </c>
    </row>
    <row r="13" spans="1:4" x14ac:dyDescent="0.25">
      <c r="A13" s="5">
        <v>43482</v>
      </c>
      <c r="B13" s="7" t="s">
        <v>27</v>
      </c>
      <c r="C13" t="s">
        <v>41</v>
      </c>
      <c r="D13" s="3">
        <v>199000</v>
      </c>
    </row>
    <row r="14" spans="1:4" x14ac:dyDescent="0.25">
      <c r="A14" s="5">
        <v>43484</v>
      </c>
      <c r="B14" s="7" t="s">
        <v>28</v>
      </c>
      <c r="C14" t="s">
        <v>42</v>
      </c>
      <c r="D14" s="3">
        <v>51000</v>
      </c>
    </row>
    <row r="15" spans="1:4" x14ac:dyDescent="0.25">
      <c r="A15" s="5">
        <v>43486</v>
      </c>
      <c r="B15" s="7" t="s">
        <v>29</v>
      </c>
      <c r="C15" t="s">
        <v>43</v>
      </c>
      <c r="D15" s="3">
        <v>75000</v>
      </c>
    </row>
    <row r="16" spans="1:4" x14ac:dyDescent="0.25">
      <c r="A16" s="5">
        <v>43488</v>
      </c>
      <c r="B16" s="7" t="s">
        <v>30</v>
      </c>
      <c r="C16" t="s">
        <v>44</v>
      </c>
      <c r="D16" s="3">
        <v>162000</v>
      </c>
    </row>
    <row r="17" spans="1:4" x14ac:dyDescent="0.25">
      <c r="A17" s="5">
        <v>43490</v>
      </c>
      <c r="B17" s="7" t="s">
        <v>31</v>
      </c>
      <c r="C17" t="s">
        <v>45</v>
      </c>
      <c r="D17" s="3">
        <v>46000</v>
      </c>
    </row>
    <row r="18" spans="1:4" x14ac:dyDescent="0.25">
      <c r="A18" s="5">
        <v>43492</v>
      </c>
      <c r="B18" s="7" t="s">
        <v>32</v>
      </c>
      <c r="C18" t="s">
        <v>46</v>
      </c>
      <c r="D18" s="3">
        <v>40000</v>
      </c>
    </row>
    <row r="19" spans="1:4" x14ac:dyDescent="0.25">
      <c r="A19" s="5">
        <v>43494</v>
      </c>
      <c r="B19" s="7" t="s">
        <v>33</v>
      </c>
      <c r="C19" t="s">
        <v>47</v>
      </c>
      <c r="D19" s="3">
        <v>122000</v>
      </c>
    </row>
    <row r="20" spans="1:4" x14ac:dyDescent="0.25">
      <c r="A20" s="5">
        <v>43496</v>
      </c>
      <c r="B20" s="7" t="s">
        <v>34</v>
      </c>
      <c r="C20" t="s">
        <v>48</v>
      </c>
      <c r="D20" s="3">
        <v>162000</v>
      </c>
    </row>
    <row r="21" spans="1:4" x14ac:dyDescent="0.25">
      <c r="A21" s="5">
        <v>43498</v>
      </c>
      <c r="B21" s="7" t="s">
        <v>31</v>
      </c>
      <c r="C21" t="s">
        <v>45</v>
      </c>
      <c r="D21" s="3">
        <v>159000</v>
      </c>
    </row>
    <row r="22" spans="1:4" x14ac:dyDescent="0.25">
      <c r="A22" s="5">
        <v>43500</v>
      </c>
      <c r="B22" s="7" t="s">
        <v>32</v>
      </c>
      <c r="C22" t="s">
        <v>46</v>
      </c>
      <c r="D22" s="3">
        <v>49000</v>
      </c>
    </row>
    <row r="23" spans="1:4" x14ac:dyDescent="0.25">
      <c r="A23" s="5">
        <v>43502</v>
      </c>
      <c r="B23" s="7" t="s">
        <v>33</v>
      </c>
      <c r="C23" t="s">
        <v>47</v>
      </c>
      <c r="D23" s="3">
        <v>168000</v>
      </c>
    </row>
    <row r="24" spans="1:4" x14ac:dyDescent="0.25">
      <c r="A24" s="5">
        <v>43504</v>
      </c>
      <c r="B24" s="7" t="s">
        <v>34</v>
      </c>
      <c r="C24" t="s">
        <v>48</v>
      </c>
      <c r="D24" s="3">
        <v>114000</v>
      </c>
    </row>
    <row r="25" spans="1:4" x14ac:dyDescent="0.25">
      <c r="A25" s="5">
        <v>43506</v>
      </c>
      <c r="B25" s="7" t="s">
        <v>24</v>
      </c>
      <c r="C25" t="s">
        <v>38</v>
      </c>
      <c r="D25" s="3">
        <v>40000</v>
      </c>
    </row>
    <row r="26" spans="1:4" x14ac:dyDescent="0.25">
      <c r="A26" s="5">
        <v>43508</v>
      </c>
      <c r="B26" s="7" t="s">
        <v>25</v>
      </c>
      <c r="C26" t="s">
        <v>39</v>
      </c>
      <c r="D26" s="3">
        <v>188000</v>
      </c>
    </row>
    <row r="27" spans="1:4" x14ac:dyDescent="0.25">
      <c r="A27" s="5">
        <v>43510</v>
      </c>
      <c r="B27" s="7" t="s">
        <v>26</v>
      </c>
      <c r="C27" t="s">
        <v>40</v>
      </c>
      <c r="D27" s="3">
        <v>48000</v>
      </c>
    </row>
    <row r="28" spans="1:4" x14ac:dyDescent="0.25">
      <c r="A28" s="5">
        <v>43512</v>
      </c>
      <c r="B28" s="7" t="s">
        <v>27</v>
      </c>
      <c r="C28" t="s">
        <v>41</v>
      </c>
      <c r="D28" s="3">
        <v>92000</v>
      </c>
    </row>
    <row r="29" spans="1:4" x14ac:dyDescent="0.25">
      <c r="A29" s="5">
        <v>43514</v>
      </c>
      <c r="B29" s="7" t="s">
        <v>28</v>
      </c>
      <c r="C29" t="s">
        <v>42</v>
      </c>
      <c r="D29" s="3">
        <v>107000</v>
      </c>
    </row>
    <row r="30" spans="1:4" x14ac:dyDescent="0.25">
      <c r="A30" s="5">
        <v>43516</v>
      </c>
      <c r="B30" s="7" t="s">
        <v>29</v>
      </c>
      <c r="C30" t="s">
        <v>43</v>
      </c>
      <c r="D30" s="3">
        <v>70000</v>
      </c>
    </row>
    <row r="31" spans="1:4" x14ac:dyDescent="0.25">
      <c r="A31" s="5">
        <v>43518</v>
      </c>
      <c r="B31" s="6" t="s">
        <v>20</v>
      </c>
      <c r="C31" t="s">
        <v>19</v>
      </c>
      <c r="D31" s="3">
        <v>144000</v>
      </c>
    </row>
    <row r="32" spans="1:4" x14ac:dyDescent="0.25">
      <c r="A32" s="5">
        <v>43520</v>
      </c>
      <c r="B32" s="7" t="s">
        <v>21</v>
      </c>
      <c r="C32" t="s">
        <v>35</v>
      </c>
      <c r="D32" s="3">
        <v>47000</v>
      </c>
    </row>
    <row r="33" spans="1:4" x14ac:dyDescent="0.25">
      <c r="A33" s="5">
        <v>43522</v>
      </c>
      <c r="B33" s="7" t="s">
        <v>22</v>
      </c>
      <c r="C33" t="s">
        <v>36</v>
      </c>
      <c r="D33" s="3">
        <v>136000</v>
      </c>
    </row>
    <row r="34" spans="1:4" x14ac:dyDescent="0.25">
      <c r="A34" s="5">
        <v>43524</v>
      </c>
      <c r="B34" s="7" t="s">
        <v>23</v>
      </c>
      <c r="C34" t="s">
        <v>37</v>
      </c>
      <c r="D34" s="3">
        <v>85000</v>
      </c>
    </row>
    <row r="35" spans="1:4" x14ac:dyDescent="0.25">
      <c r="A35" s="5">
        <v>43526</v>
      </c>
      <c r="B35" s="7" t="s">
        <v>24</v>
      </c>
      <c r="C35" t="s">
        <v>38</v>
      </c>
      <c r="D35" s="3">
        <v>126000</v>
      </c>
    </row>
    <row r="36" spans="1:4" x14ac:dyDescent="0.25">
      <c r="A36" s="5">
        <v>43528</v>
      </c>
      <c r="B36" s="7" t="s">
        <v>25</v>
      </c>
      <c r="C36" t="s">
        <v>39</v>
      </c>
      <c r="D36" s="3">
        <v>132000</v>
      </c>
    </row>
    <row r="37" spans="1:4" x14ac:dyDescent="0.25">
      <c r="A37" s="5">
        <v>43530</v>
      </c>
      <c r="B37" s="7" t="s">
        <v>26</v>
      </c>
      <c r="C37" t="s">
        <v>40</v>
      </c>
      <c r="D37" s="3">
        <v>129000</v>
      </c>
    </row>
    <row r="38" spans="1:4" x14ac:dyDescent="0.25">
      <c r="A38" s="5">
        <v>43532</v>
      </c>
      <c r="B38" s="7" t="s">
        <v>27</v>
      </c>
      <c r="C38" t="s">
        <v>41</v>
      </c>
      <c r="D38" s="3">
        <v>103000</v>
      </c>
    </row>
    <row r="39" spans="1:4" x14ac:dyDescent="0.25">
      <c r="A39" s="5">
        <v>43534</v>
      </c>
      <c r="B39" s="7" t="s">
        <v>28</v>
      </c>
      <c r="C39" t="s">
        <v>42</v>
      </c>
      <c r="D39" s="3">
        <v>190000</v>
      </c>
    </row>
    <row r="40" spans="1:4" x14ac:dyDescent="0.25">
      <c r="A40" s="5">
        <v>43536</v>
      </c>
      <c r="B40" s="7" t="s">
        <v>29</v>
      </c>
      <c r="C40" t="s">
        <v>43</v>
      </c>
      <c r="D40" s="3">
        <v>200000</v>
      </c>
    </row>
    <row r="41" spans="1:4" x14ac:dyDescent="0.25">
      <c r="A41" s="5">
        <v>43538</v>
      </c>
      <c r="B41" s="7" t="s">
        <v>30</v>
      </c>
      <c r="C41" t="s">
        <v>44</v>
      </c>
      <c r="D41" s="3">
        <v>90000</v>
      </c>
    </row>
    <row r="42" spans="1:4" x14ac:dyDescent="0.25">
      <c r="A42" s="5">
        <v>43540</v>
      </c>
      <c r="B42" s="7" t="s">
        <v>31</v>
      </c>
      <c r="C42" t="s">
        <v>45</v>
      </c>
      <c r="D42" s="3">
        <v>65000</v>
      </c>
    </row>
    <row r="43" spans="1:4" x14ac:dyDescent="0.25">
      <c r="A43" s="5">
        <v>43542</v>
      </c>
      <c r="B43" s="7" t="s">
        <v>32</v>
      </c>
      <c r="C43" t="s">
        <v>46</v>
      </c>
      <c r="D43" s="3">
        <v>89000</v>
      </c>
    </row>
    <row r="44" spans="1:4" x14ac:dyDescent="0.25">
      <c r="A44" s="5">
        <v>43544</v>
      </c>
      <c r="B44" s="7" t="s">
        <v>33</v>
      </c>
      <c r="C44" t="s">
        <v>47</v>
      </c>
      <c r="D44" s="3">
        <v>197000</v>
      </c>
    </row>
    <row r="45" spans="1:4" x14ac:dyDescent="0.25">
      <c r="A45" s="5">
        <v>43546</v>
      </c>
      <c r="B45" s="7" t="s">
        <v>34</v>
      </c>
      <c r="C45" t="s">
        <v>48</v>
      </c>
      <c r="D45" s="3">
        <v>186000</v>
      </c>
    </row>
    <row r="46" spans="1:4" x14ac:dyDescent="0.25">
      <c r="A46" s="5">
        <v>43548</v>
      </c>
      <c r="B46" s="6" t="s">
        <v>20</v>
      </c>
      <c r="C46" t="s">
        <v>19</v>
      </c>
      <c r="D46" s="3">
        <v>192000</v>
      </c>
    </row>
    <row r="47" spans="1:4" x14ac:dyDescent="0.25">
      <c r="A47" s="5">
        <v>43550</v>
      </c>
      <c r="B47" s="7" t="s">
        <v>21</v>
      </c>
      <c r="C47" t="s">
        <v>35</v>
      </c>
      <c r="D47" s="3">
        <v>81000</v>
      </c>
    </row>
    <row r="48" spans="1:4" x14ac:dyDescent="0.25">
      <c r="A48" s="5">
        <v>43552</v>
      </c>
      <c r="B48" s="7" t="s">
        <v>22</v>
      </c>
      <c r="C48" t="s">
        <v>36</v>
      </c>
      <c r="D48" s="3">
        <v>109000</v>
      </c>
    </row>
    <row r="49" spans="1:4" x14ac:dyDescent="0.25">
      <c r="A49" s="5">
        <v>43554</v>
      </c>
      <c r="B49" s="7" t="s">
        <v>23</v>
      </c>
      <c r="C49" t="s">
        <v>37</v>
      </c>
      <c r="D49" s="3">
        <v>68000</v>
      </c>
    </row>
    <row r="50" spans="1:4" x14ac:dyDescent="0.25">
      <c r="A50" s="5">
        <v>43556</v>
      </c>
      <c r="B50" s="7" t="s">
        <v>23</v>
      </c>
      <c r="C50" t="s">
        <v>37</v>
      </c>
      <c r="D50" s="3">
        <v>185000</v>
      </c>
    </row>
    <row r="51" spans="1:4" x14ac:dyDescent="0.25">
      <c r="A51" s="5">
        <v>43558</v>
      </c>
      <c r="B51" s="6" t="s">
        <v>20</v>
      </c>
      <c r="C51" t="s">
        <v>19</v>
      </c>
      <c r="D51" s="3">
        <v>126000</v>
      </c>
    </row>
    <row r="52" spans="1:4" x14ac:dyDescent="0.25">
      <c r="A52" s="5">
        <v>43560</v>
      </c>
      <c r="B52" s="7" t="s">
        <v>21</v>
      </c>
      <c r="C52" t="s">
        <v>35</v>
      </c>
      <c r="D52" s="3">
        <v>41000</v>
      </c>
    </row>
    <row r="53" spans="1:4" x14ac:dyDescent="0.25">
      <c r="A53" s="5">
        <v>43562</v>
      </c>
      <c r="B53" s="7" t="s">
        <v>22</v>
      </c>
      <c r="C53" t="s">
        <v>36</v>
      </c>
      <c r="D53" s="3">
        <v>73000</v>
      </c>
    </row>
    <row r="54" spans="1:4" x14ac:dyDescent="0.25">
      <c r="A54" s="5">
        <v>43564</v>
      </c>
      <c r="B54" s="7" t="s">
        <v>23</v>
      </c>
      <c r="C54" t="s">
        <v>37</v>
      </c>
      <c r="D54" s="3">
        <v>182000</v>
      </c>
    </row>
    <row r="55" spans="1:4" x14ac:dyDescent="0.25">
      <c r="A55" s="5">
        <v>43566</v>
      </c>
      <c r="B55" s="7" t="s">
        <v>24</v>
      </c>
      <c r="C55" t="s">
        <v>38</v>
      </c>
      <c r="D55" s="3">
        <v>152000</v>
      </c>
    </row>
    <row r="56" spans="1:4" x14ac:dyDescent="0.25">
      <c r="A56" s="5">
        <v>43568</v>
      </c>
      <c r="B56" s="7" t="s">
        <v>25</v>
      </c>
      <c r="C56" t="s">
        <v>39</v>
      </c>
      <c r="D56" s="3">
        <v>63000</v>
      </c>
    </row>
    <row r="57" spans="1:4" x14ac:dyDescent="0.25">
      <c r="A57" s="5">
        <v>43570</v>
      </c>
      <c r="B57" s="7" t="s">
        <v>26</v>
      </c>
      <c r="C57" t="s">
        <v>40</v>
      </c>
      <c r="D57" s="3">
        <v>73000</v>
      </c>
    </row>
    <row r="58" spans="1:4" x14ac:dyDescent="0.25">
      <c r="A58" s="5">
        <v>43572</v>
      </c>
      <c r="B58" s="7" t="s">
        <v>27</v>
      </c>
      <c r="C58" t="s">
        <v>41</v>
      </c>
      <c r="D58" s="3">
        <v>98000</v>
      </c>
    </row>
    <row r="59" spans="1:4" x14ac:dyDescent="0.25">
      <c r="A59" s="5">
        <v>43574</v>
      </c>
      <c r="B59" s="7" t="s">
        <v>28</v>
      </c>
      <c r="C59" t="s">
        <v>42</v>
      </c>
      <c r="D59" s="3">
        <v>131000</v>
      </c>
    </row>
    <row r="60" spans="1:4" x14ac:dyDescent="0.25">
      <c r="A60" s="5">
        <v>43576</v>
      </c>
      <c r="B60" s="7" t="s">
        <v>29</v>
      </c>
      <c r="C60" t="s">
        <v>43</v>
      </c>
      <c r="D60" s="3">
        <v>109000</v>
      </c>
    </row>
    <row r="61" spans="1:4" x14ac:dyDescent="0.25">
      <c r="A61" s="5">
        <v>43578</v>
      </c>
      <c r="B61" s="7" t="s">
        <v>30</v>
      </c>
      <c r="C61" t="s">
        <v>44</v>
      </c>
      <c r="D61" s="3">
        <v>130000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3963B-9D87-4945-9F68-1D073CE93C15}">
  <sheetPr codeName="Sheet3"/>
  <dimension ref="A1:D20"/>
  <sheetViews>
    <sheetView tabSelected="1" workbookViewId="0">
      <selection activeCell="F11" sqref="F11"/>
    </sheetView>
  </sheetViews>
  <sheetFormatPr defaultRowHeight="12.5" x14ac:dyDescent="0.25"/>
  <cols>
    <col min="1" max="1" width="18.7265625" customWidth="1"/>
    <col min="2" max="2" width="20" customWidth="1"/>
    <col min="3" max="3" width="13.54296875" customWidth="1"/>
    <col min="4" max="4" width="13.453125" customWidth="1"/>
  </cols>
  <sheetData>
    <row r="1" spans="1:4" ht="15.5" x14ac:dyDescent="0.35">
      <c r="A1" s="10" t="s">
        <v>14</v>
      </c>
    </row>
    <row r="2" spans="1:4" ht="15.5" x14ac:dyDescent="0.35">
      <c r="A2" s="10" t="s">
        <v>15</v>
      </c>
    </row>
    <row r="3" spans="1:4" ht="15.5" x14ac:dyDescent="0.35">
      <c r="A3" s="10" t="s">
        <v>16</v>
      </c>
    </row>
    <row r="4" spans="1:4" ht="13" x14ac:dyDescent="0.3">
      <c r="A4" s="9" t="s">
        <v>49</v>
      </c>
    </row>
    <row r="5" spans="1:4" s="8" customFormat="1" ht="13" x14ac:dyDescent="0.3">
      <c r="A5" s="8" t="s">
        <v>18</v>
      </c>
      <c r="B5" s="8" t="s">
        <v>17</v>
      </c>
      <c r="C5" s="8" t="s">
        <v>50</v>
      </c>
      <c r="D5" s="8" t="s">
        <v>60</v>
      </c>
    </row>
    <row r="6" spans="1:4" x14ac:dyDescent="0.25">
      <c r="A6" s="7" t="s">
        <v>20</v>
      </c>
      <c r="B6" t="s">
        <v>19</v>
      </c>
      <c r="C6">
        <v>515000</v>
      </c>
      <c r="D6">
        <v>13000</v>
      </c>
    </row>
    <row r="7" spans="1:4" x14ac:dyDescent="0.25">
      <c r="A7" s="6" t="s">
        <v>21</v>
      </c>
      <c r="B7" t="s">
        <v>35</v>
      </c>
      <c r="C7">
        <v>304000</v>
      </c>
      <c r="D7">
        <v>0</v>
      </c>
    </row>
    <row r="8" spans="1:4" x14ac:dyDescent="0.25">
      <c r="A8" s="7" t="s">
        <v>22</v>
      </c>
      <c r="B8" t="s">
        <v>36</v>
      </c>
      <c r="C8">
        <v>450000</v>
      </c>
      <c r="D8">
        <v>7000</v>
      </c>
    </row>
    <row r="9" spans="1:4" x14ac:dyDescent="0.25">
      <c r="A9" s="7" t="s">
        <v>23</v>
      </c>
      <c r="B9" t="s">
        <v>37</v>
      </c>
      <c r="C9">
        <v>593000</v>
      </c>
      <c r="D9">
        <v>20800</v>
      </c>
    </row>
    <row r="10" spans="1:4" x14ac:dyDescent="0.25">
      <c r="A10" s="7" t="s">
        <v>24</v>
      </c>
      <c r="B10" t="s">
        <v>38</v>
      </c>
      <c r="C10">
        <v>407000</v>
      </c>
      <c r="D10">
        <v>4850</v>
      </c>
    </row>
    <row r="11" spans="1:4" x14ac:dyDescent="0.25">
      <c r="A11" s="7" t="s">
        <v>25</v>
      </c>
      <c r="B11" t="s">
        <v>39</v>
      </c>
      <c r="C11">
        <v>439000</v>
      </c>
      <c r="D11">
        <v>6450</v>
      </c>
    </row>
    <row r="12" spans="1:4" x14ac:dyDescent="0.25">
      <c r="A12" s="7" t="s">
        <v>26</v>
      </c>
      <c r="B12" t="s">
        <v>40</v>
      </c>
      <c r="C12">
        <v>432000</v>
      </c>
      <c r="D12">
        <v>6100</v>
      </c>
    </row>
    <row r="13" spans="1:4" x14ac:dyDescent="0.25">
      <c r="A13" s="7" t="s">
        <v>27</v>
      </c>
      <c r="B13" t="s">
        <v>41</v>
      </c>
      <c r="C13">
        <v>492000</v>
      </c>
      <c r="D13">
        <v>10700</v>
      </c>
    </row>
    <row r="14" spans="1:4" x14ac:dyDescent="0.25">
      <c r="A14" s="7" t="s">
        <v>28</v>
      </c>
      <c r="B14" t="s">
        <v>42</v>
      </c>
      <c r="C14">
        <v>479000</v>
      </c>
      <c r="D14">
        <v>9400</v>
      </c>
    </row>
    <row r="15" spans="1:4" x14ac:dyDescent="0.25">
      <c r="A15" s="7" t="s">
        <v>29</v>
      </c>
      <c r="B15" t="s">
        <v>43</v>
      </c>
      <c r="C15">
        <v>454000</v>
      </c>
      <c r="D15">
        <v>7200</v>
      </c>
    </row>
    <row r="16" spans="1:4" x14ac:dyDescent="0.25">
      <c r="A16" s="7" t="s">
        <v>30</v>
      </c>
      <c r="B16" t="s">
        <v>44</v>
      </c>
      <c r="C16">
        <v>382000</v>
      </c>
      <c r="D16">
        <v>3600</v>
      </c>
    </row>
    <row r="17" spans="1:4" x14ac:dyDescent="0.25">
      <c r="A17" s="7" t="s">
        <v>31</v>
      </c>
      <c r="B17" t="s">
        <v>45</v>
      </c>
      <c r="C17">
        <v>270000</v>
      </c>
      <c r="D17">
        <v>0</v>
      </c>
    </row>
    <row r="18" spans="1:4" x14ac:dyDescent="0.25">
      <c r="A18" s="7" t="s">
        <v>32</v>
      </c>
      <c r="B18" t="s">
        <v>46</v>
      </c>
      <c r="C18">
        <v>178000</v>
      </c>
      <c r="D18">
        <v>0</v>
      </c>
    </row>
    <row r="19" spans="1:4" x14ac:dyDescent="0.25">
      <c r="A19" s="7" t="s">
        <v>33</v>
      </c>
      <c r="B19" t="s">
        <v>47</v>
      </c>
      <c r="C19">
        <v>487000</v>
      </c>
      <c r="D19">
        <v>10200</v>
      </c>
    </row>
    <row r="20" spans="1:4" x14ac:dyDescent="0.25">
      <c r="A20" s="7" t="s">
        <v>34</v>
      </c>
      <c r="B20" t="s">
        <v>48</v>
      </c>
      <c r="C20">
        <v>462000</v>
      </c>
      <c r="D20">
        <v>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TaxCalculate</vt:lpstr>
      <vt:lpstr>DATA</vt:lpstr>
      <vt:lpstr>TaxReport</vt:lpstr>
      <vt:lpstr>DataBase</vt:lpstr>
      <vt:lpstr>INP_NETREV</vt:lpstr>
      <vt:lpstr>OUTPUT_TAXPAY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</dc:creator>
  <cp:lastModifiedBy>kik</cp:lastModifiedBy>
  <dcterms:created xsi:type="dcterms:W3CDTF">2020-05-08T03:32:28Z</dcterms:created>
  <dcterms:modified xsi:type="dcterms:W3CDTF">2020-05-08T09:55:39Z</dcterms:modified>
</cp:coreProperties>
</file>